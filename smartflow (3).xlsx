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95D436D4-0350-45FA-876E-41479366A53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oduction" sheetId="1" r:id="rId1"/>
    <sheet name="dashboard" sheetId="4" r:id="rId2"/>
    <sheet name="employees" sheetId="2" r:id="rId3"/>
    <sheet name="kit_types" sheetId="3" r:id="rId4"/>
    <sheet name="metric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4" l="1"/>
  <c r="C11" i="4"/>
  <c r="A11" i="4"/>
  <c r="A8" i="4"/>
  <c r="K4" i="4"/>
  <c r="I4" i="4"/>
  <c r="G4" i="4"/>
  <c r="A4" i="4"/>
  <c r="E4" i="4"/>
  <c r="C4" i="4"/>
  <c r="M17" i="5"/>
  <c r="M16" i="5"/>
  <c r="M14" i="5"/>
  <c r="M13" i="5"/>
  <c r="M12" i="5"/>
  <c r="I21" i="5"/>
  <c r="I20" i="5"/>
  <c r="I19" i="5"/>
  <c r="I18" i="5"/>
  <c r="I17" i="5"/>
  <c r="I16" i="5"/>
  <c r="I15" i="5"/>
  <c r="I14" i="5"/>
  <c r="I13" i="5"/>
  <c r="I12" i="5"/>
  <c r="J21" i="5"/>
  <c r="J20" i="5"/>
  <c r="J19" i="5"/>
  <c r="J18" i="5"/>
  <c r="J17" i="5"/>
  <c r="J16" i="5"/>
  <c r="J15" i="5"/>
  <c r="J14" i="5"/>
  <c r="J13" i="5"/>
  <c r="J12" i="5"/>
  <c r="H21" i="5"/>
  <c r="H20" i="5"/>
  <c r="H19" i="5"/>
  <c r="H18" i="5"/>
  <c r="H17" i="5"/>
  <c r="H16" i="5"/>
  <c r="H15" i="5"/>
  <c r="H14" i="5"/>
  <c r="H13" i="5"/>
  <c r="H12" i="5"/>
  <c r="G21" i="5"/>
  <c r="G20" i="5"/>
  <c r="G19" i="5"/>
  <c r="G18" i="5"/>
  <c r="G17" i="5"/>
  <c r="G16" i="5"/>
  <c r="G15" i="5"/>
  <c r="G14" i="5"/>
  <c r="G13" i="5"/>
  <c r="G12" i="5"/>
  <c r="F21" i="5"/>
  <c r="F20" i="5"/>
  <c r="F19" i="5"/>
  <c r="F18" i="5"/>
  <c r="F17" i="5"/>
  <c r="F16" i="5"/>
  <c r="F15" i="5"/>
  <c r="F14" i="5"/>
  <c r="F13" i="5"/>
  <c r="F12" i="5"/>
  <c r="D21" i="5"/>
  <c r="D15" i="5"/>
  <c r="E21" i="5"/>
  <c r="E20" i="5"/>
  <c r="E19" i="5"/>
  <c r="E18" i="5"/>
  <c r="E17" i="5"/>
  <c r="E16" i="5"/>
  <c r="E15" i="5"/>
  <c r="C21" i="5"/>
  <c r="C20" i="5"/>
  <c r="C19" i="5"/>
  <c r="C18" i="5"/>
  <c r="C17" i="5"/>
  <c r="C16" i="5"/>
  <c r="C15" i="5"/>
  <c r="B21" i="5"/>
  <c r="B20" i="5"/>
  <c r="B19" i="5"/>
  <c r="B18" i="5"/>
  <c r="B17" i="5"/>
  <c r="B16" i="5"/>
  <c r="B15" i="5"/>
  <c r="E14" i="5"/>
  <c r="C14" i="5"/>
  <c r="B14" i="5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C13" i="5"/>
  <c r="E13" i="5" s="1"/>
  <c r="B13" i="5"/>
  <c r="C12" i="5"/>
  <c r="E12" i="5" s="1"/>
  <c r="B12" i="5"/>
  <c r="B9" i="5"/>
  <c r="B8" i="5"/>
  <c r="B7" i="5"/>
  <c r="B6" i="5"/>
  <c r="B5" i="5"/>
  <c r="B4" i="5"/>
  <c r="B3" i="5"/>
  <c r="B2" i="5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2" i="1"/>
  <c r="I2" i="1"/>
</calcChain>
</file>

<file path=xl/sharedStrings.xml><?xml version="1.0" encoding="utf-8"?>
<sst xmlns="http://schemas.openxmlformats.org/spreadsheetml/2006/main" count="170" uniqueCount="83">
  <si>
    <t>date</t>
  </si>
  <si>
    <t>hour</t>
  </si>
  <si>
    <t>employee_id</t>
  </si>
  <si>
    <t>table_id</t>
  </si>
  <si>
    <t>kit_id</t>
  </si>
  <si>
    <t>quantity_produced</t>
  </si>
  <si>
    <t>available_minutes</t>
  </si>
  <si>
    <t>productive_minutes</t>
  </si>
  <si>
    <t>actual_rate_kits_min</t>
  </si>
  <si>
    <t>reference_achievement_pct</t>
  </si>
  <si>
    <t>reference_capacity_kits_min</t>
  </si>
  <si>
    <t>F001</t>
  </si>
  <si>
    <t>M01</t>
  </si>
  <si>
    <t>K001</t>
  </si>
  <si>
    <t>F002</t>
  </si>
  <si>
    <t>K002</t>
  </si>
  <si>
    <t>F003</t>
  </si>
  <si>
    <t>F004</t>
  </si>
  <si>
    <t>K003</t>
  </si>
  <si>
    <t>F005</t>
  </si>
  <si>
    <t>F006</t>
  </si>
  <si>
    <t>M02</t>
  </si>
  <si>
    <t>F007</t>
  </si>
  <si>
    <t>F008</t>
  </si>
  <si>
    <t>F009</t>
  </si>
  <si>
    <t>F010</t>
  </si>
  <si>
    <t>K004</t>
  </si>
  <si>
    <t>SMARTFLOW — PAINEL OPERACIONAL</t>
  </si>
  <si>
    <t>Produção total</t>
  </si>
  <si>
    <t>Ritmo médio</t>
  </si>
  <si>
    <t>Funcionários analisados</t>
  </si>
  <si>
    <t>Funcionários normais</t>
  </si>
  <si>
    <t>Funcionários em atenção</t>
  </si>
  <si>
    <t>Funcionários em nível alto</t>
  </si>
  <si>
    <t>ALERTA OPERACIONAL</t>
  </si>
  <si>
    <t>EQUILÍBRIO DAS MESAS</t>
  </si>
  <si>
    <t>employee_name</t>
  </si>
  <si>
    <t>scheduled_hours</t>
  </si>
  <si>
    <t>Funcionário 01</t>
  </si>
  <si>
    <t>Funcionário 02</t>
  </si>
  <si>
    <t>Funcionário 03</t>
  </si>
  <si>
    <t>Funcionário 04</t>
  </si>
  <si>
    <t>Funcionário 05</t>
  </si>
  <si>
    <t>Funcionário 06</t>
  </si>
  <si>
    <t>Funcionário 07</t>
  </si>
  <si>
    <t>Funcionário 08</t>
  </si>
  <si>
    <t>Funcionário 09</t>
  </si>
  <si>
    <t>Funcionário 10</t>
  </si>
  <si>
    <t>kit_name</t>
  </si>
  <si>
    <t>ketchup_units</t>
  </si>
  <si>
    <t>mayonnaise_units</t>
  </si>
  <si>
    <t>ketchup_weight_g</t>
  </si>
  <si>
    <t>mayonnaise_weight_g</t>
  </si>
  <si>
    <t>total_weight_g</t>
  </si>
  <si>
    <t>Kit A</t>
  </si>
  <si>
    <t>Kit B</t>
  </si>
  <si>
    <t>Kit C</t>
  </si>
  <si>
    <t>Kit D</t>
  </si>
  <si>
    <t>metric</t>
  </si>
  <si>
    <t>value</t>
  </si>
  <si>
    <t>total_production</t>
  </si>
  <si>
    <t>average_production</t>
  </si>
  <si>
    <t>average_rate_kits_min</t>
  </si>
  <si>
    <t>average_productive_minutes</t>
  </si>
  <si>
    <t>production_table_M01</t>
  </si>
  <si>
    <t>production_table_M02</t>
  </si>
  <si>
    <t>table_balance_M01_pct</t>
  </si>
  <si>
    <t>table_balance_M02_pct</t>
  </si>
  <si>
    <t>average_rate</t>
  </si>
  <si>
    <t>reference_rate</t>
  </si>
  <si>
    <t>achievement_pct</t>
  </si>
  <si>
    <t>load_index</t>
  </si>
  <si>
    <t>load_status</t>
  </si>
  <si>
    <t>productive_time</t>
  </si>
  <si>
    <t>workload_status</t>
  </si>
  <si>
    <t>time_ratio</t>
  </si>
  <si>
    <t>status</t>
  </si>
  <si>
    <t>quantity</t>
  </si>
  <si>
    <t>NORMAL</t>
  </si>
  <si>
    <t>ATENÇÃO</t>
  </si>
  <si>
    <t>ALTO</t>
  </si>
  <si>
    <t>table_balance_gap</t>
  </si>
  <si>
    <t>table_balance_status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</si>
</sst>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9" fontId="1" fillId="0" borderId="0" xfId="0" applyNumberFormat="1" applyFont="1"/>
    <xf numFmtId="0" fontId="1" fillId="0" borderId="0" xfId="0" applyNumberFormat="1" applyFon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7" fillId="0" borderId="0" xfId="0" applyNumberFormat="1" applyFont="1"/>
    <xf numFmtId="9" fontId="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da Produção por Mesa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A-4183-BC13-91B84F8C59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A-4183-BC13-91B84F8C59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FA-4183-BC13-91B84F8C5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dashboard!$C$10:$E$10</c:f>
              <c:strCache>
                <c:ptCount val="3"/>
                <c:pt idx="0">
                  <c:v>M01</c:v>
                </c:pt>
                <c:pt idx="2">
                  <c:v>M02</c:v>
                </c:pt>
              </c:strCache>
            </c:strRef>
          </c:cat>
          <c:val>
            <c:numRef>
              <c:f>dashboard!$C$11:$E$11</c:f>
              <c:numCache>
                <c:formatCode>General</c:formatCode>
                <c:ptCount val="3"/>
                <c:pt idx="0" formatCode="0%">
                  <c:v>0.49373695198329853</c:v>
                </c:pt>
                <c:pt idx="2" formatCode="0%">
                  <c:v>0.50626304801670141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0-4B07-9DB4-056355802C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11</xdr:row>
      <xdr:rowOff>0</xdr:rowOff>
    </xdr:from>
    <xdr:to>
      <xdr:col>5</xdr:col>
      <xdr:colOff>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FD9C4-4190-A915-6432-FE792B0DB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opLeftCell="H1" workbookViewId="0">
      <selection activeCell="I2" sqref="I2"/>
    </sheetView>
  </sheetViews>
  <sheetFormatPr defaultRowHeight="15"/>
  <cols>
    <col min="1" max="1" width="10.5703125" style="1" bestFit="1" customWidth="1"/>
    <col min="2" max="2" width="9.140625" style="1"/>
    <col min="3" max="3" width="12.140625" style="1" customWidth="1"/>
    <col min="4" max="5" width="9.140625" style="1"/>
    <col min="6" max="6" width="17.5703125" style="1" customWidth="1"/>
    <col min="7" max="7" width="17.140625" style="1" customWidth="1"/>
    <col min="8" max="8" width="19.28515625" style="1" customWidth="1"/>
    <col min="9" max="9" width="18.42578125" style="1" customWidth="1"/>
    <col min="10" max="10" width="34.7109375" style="1" customWidth="1"/>
    <col min="11" max="11" width="36.28515625" style="1" customWidth="1"/>
    <col min="12" max="12" width="32" style="1" customWidth="1"/>
    <col min="13" max="16384" width="9.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</row>
    <row r="2" spans="1:12">
      <c r="A2" s="2">
        <v>46251</v>
      </c>
      <c r="B2" s="3">
        <v>0.33333333333333331</v>
      </c>
      <c r="C2" s="1" t="s">
        <v>11</v>
      </c>
      <c r="D2" s="1" t="s">
        <v>12</v>
      </c>
      <c r="E2" s="1" t="s">
        <v>13</v>
      </c>
      <c r="F2" s="1">
        <v>210</v>
      </c>
      <c r="G2" s="1">
        <v>60</v>
      </c>
      <c r="H2" s="1">
        <v>54</v>
      </c>
      <c r="I2" s="5">
        <f>F2/H2</f>
        <v>3.8888888888888888</v>
      </c>
      <c r="J2" s="4">
        <f>I2/4</f>
        <v>0.97222222222222221</v>
      </c>
      <c r="K2" s="1">
        <v>4</v>
      </c>
      <c r="L2" s="4">
        <f>I2/K2</f>
        <v>0.97222222222222221</v>
      </c>
    </row>
    <row r="3" spans="1:12">
      <c r="A3" s="2">
        <v>46251</v>
      </c>
      <c r="B3" s="3">
        <v>0.33333333333333331</v>
      </c>
      <c r="C3" s="1" t="s">
        <v>14</v>
      </c>
      <c r="D3" s="1" t="s">
        <v>12</v>
      </c>
      <c r="E3" s="1" t="s">
        <v>15</v>
      </c>
      <c r="F3" s="1">
        <v>195</v>
      </c>
      <c r="G3" s="1">
        <v>60</v>
      </c>
      <c r="H3" s="1">
        <v>55</v>
      </c>
      <c r="I3" s="5">
        <f>F3/H3</f>
        <v>3.5454545454545454</v>
      </c>
      <c r="K3" s="5">
        <v>4</v>
      </c>
      <c r="L3" s="4">
        <f t="shared" ref="L3:L21" si="0">I3/K3</f>
        <v>0.88636363636363635</v>
      </c>
    </row>
    <row r="4" spans="1:12">
      <c r="A4" s="2">
        <v>46251</v>
      </c>
      <c r="B4" s="3">
        <v>0.33333333333333331</v>
      </c>
      <c r="C4" s="1" t="s">
        <v>16</v>
      </c>
      <c r="D4" s="1" t="s">
        <v>12</v>
      </c>
      <c r="E4" s="1" t="s">
        <v>13</v>
      </c>
      <c r="F4" s="1">
        <v>240</v>
      </c>
      <c r="G4" s="1">
        <v>60</v>
      </c>
      <c r="H4" s="1">
        <v>57</v>
      </c>
      <c r="I4" s="1">
        <f>F4/H4</f>
        <v>4.2105263157894735</v>
      </c>
      <c r="K4" s="1">
        <v>5</v>
      </c>
      <c r="L4" s="4">
        <f t="shared" si="0"/>
        <v>0.84210526315789469</v>
      </c>
    </row>
    <row r="5" spans="1:12">
      <c r="A5" s="2">
        <v>46251</v>
      </c>
      <c r="B5" s="3">
        <v>0.33333333333333331</v>
      </c>
      <c r="C5" s="1" t="s">
        <v>17</v>
      </c>
      <c r="D5" s="1" t="s">
        <v>12</v>
      </c>
      <c r="E5" s="1" t="s">
        <v>18</v>
      </c>
      <c r="F5" s="1">
        <v>225</v>
      </c>
      <c r="G5" s="1">
        <v>60</v>
      </c>
      <c r="H5" s="1">
        <v>54</v>
      </c>
      <c r="I5" s="1">
        <f>F5/H5</f>
        <v>4.166666666666667</v>
      </c>
      <c r="K5" s="1">
        <v>4.5</v>
      </c>
      <c r="L5" s="4">
        <f t="shared" si="0"/>
        <v>0.92592592592592604</v>
      </c>
    </row>
    <row r="6" spans="1:12">
      <c r="A6" s="2">
        <v>46251</v>
      </c>
      <c r="B6" s="3">
        <v>0.33333333333333331</v>
      </c>
      <c r="C6" s="1" t="s">
        <v>19</v>
      </c>
      <c r="D6" s="1" t="s">
        <v>12</v>
      </c>
      <c r="E6" s="1" t="s">
        <v>13</v>
      </c>
      <c r="F6" s="1">
        <v>300</v>
      </c>
      <c r="G6" s="1">
        <v>60</v>
      </c>
      <c r="H6" s="1">
        <v>56</v>
      </c>
      <c r="I6" s="1">
        <f>F6/H6</f>
        <v>5.3571428571428568</v>
      </c>
      <c r="K6" s="1">
        <v>6</v>
      </c>
      <c r="L6" s="4">
        <f t="shared" si="0"/>
        <v>0.89285714285714279</v>
      </c>
    </row>
    <row r="7" spans="1:12">
      <c r="A7" s="2">
        <v>46251</v>
      </c>
      <c r="B7" s="3">
        <v>0.33333333333333331</v>
      </c>
      <c r="C7" s="1" t="s">
        <v>20</v>
      </c>
      <c r="D7" s="1" t="s">
        <v>21</v>
      </c>
      <c r="E7" s="1" t="s">
        <v>15</v>
      </c>
      <c r="F7" s="1">
        <v>205</v>
      </c>
      <c r="G7" s="1">
        <v>60</v>
      </c>
      <c r="H7" s="1">
        <v>55</v>
      </c>
      <c r="I7" s="1">
        <f>F7/H7</f>
        <v>3.7272727272727271</v>
      </c>
      <c r="K7" s="1">
        <v>4</v>
      </c>
      <c r="L7" s="4">
        <f t="shared" si="0"/>
        <v>0.93181818181818177</v>
      </c>
    </row>
    <row r="8" spans="1:12">
      <c r="A8" s="2">
        <v>46251</v>
      </c>
      <c r="B8" s="3">
        <v>0.33333333333333331</v>
      </c>
      <c r="C8" s="1" t="s">
        <v>22</v>
      </c>
      <c r="D8" s="1" t="s">
        <v>21</v>
      </c>
      <c r="E8" s="1" t="s">
        <v>13</v>
      </c>
      <c r="F8" s="1">
        <v>250</v>
      </c>
      <c r="G8" s="1">
        <v>60</v>
      </c>
      <c r="H8" s="1">
        <v>57</v>
      </c>
      <c r="I8" s="1">
        <f>F8/H8</f>
        <v>4.3859649122807021</v>
      </c>
      <c r="K8" s="1">
        <v>5</v>
      </c>
      <c r="L8" s="4">
        <f t="shared" si="0"/>
        <v>0.87719298245614041</v>
      </c>
    </row>
    <row r="9" spans="1:12">
      <c r="A9" s="2">
        <v>46251</v>
      </c>
      <c r="B9" s="3">
        <v>0.33333333333333331</v>
      </c>
      <c r="C9" s="1" t="s">
        <v>23</v>
      </c>
      <c r="D9" s="1" t="s">
        <v>21</v>
      </c>
      <c r="E9" s="1" t="s">
        <v>18</v>
      </c>
      <c r="F9" s="1">
        <v>215</v>
      </c>
      <c r="G9" s="1">
        <v>60</v>
      </c>
      <c r="H9" s="1">
        <v>53</v>
      </c>
      <c r="I9" s="1">
        <f>F9/H9</f>
        <v>4.0566037735849054</v>
      </c>
      <c r="K9" s="1">
        <v>4</v>
      </c>
      <c r="L9" s="4">
        <f t="shared" si="0"/>
        <v>1.0141509433962264</v>
      </c>
    </row>
    <row r="10" spans="1:12">
      <c r="A10" s="2">
        <v>46251</v>
      </c>
      <c r="B10" s="3">
        <v>0.33333333333333331</v>
      </c>
      <c r="C10" s="1" t="s">
        <v>24</v>
      </c>
      <c r="D10" s="1" t="s">
        <v>21</v>
      </c>
      <c r="E10" s="1" t="s">
        <v>13</v>
      </c>
      <c r="F10" s="1">
        <v>310</v>
      </c>
      <c r="G10" s="1">
        <v>60</v>
      </c>
      <c r="H10" s="1">
        <v>56</v>
      </c>
      <c r="I10" s="1">
        <f>F10/H10</f>
        <v>5.5357142857142856</v>
      </c>
      <c r="K10" s="1">
        <v>6</v>
      </c>
      <c r="L10" s="4">
        <f t="shared" si="0"/>
        <v>0.92261904761904756</v>
      </c>
    </row>
    <row r="11" spans="1:12">
      <c r="A11" s="2">
        <v>46251</v>
      </c>
      <c r="B11" s="3">
        <v>0.33333333333333331</v>
      </c>
      <c r="C11" s="1" t="s">
        <v>25</v>
      </c>
      <c r="D11" s="1" t="s">
        <v>21</v>
      </c>
      <c r="E11" s="1" t="s">
        <v>26</v>
      </c>
      <c r="F11" s="1">
        <v>230</v>
      </c>
      <c r="G11" s="1">
        <v>60</v>
      </c>
      <c r="H11" s="1">
        <v>54</v>
      </c>
      <c r="I11" s="1">
        <f>F11/H11</f>
        <v>4.2592592592592595</v>
      </c>
      <c r="K11" s="1">
        <v>4.5</v>
      </c>
      <c r="L11" s="4">
        <f t="shared" si="0"/>
        <v>0.94650205761316875</v>
      </c>
    </row>
    <row r="12" spans="1:12">
      <c r="A12" s="2">
        <v>46251</v>
      </c>
      <c r="B12" s="3">
        <v>0.375</v>
      </c>
      <c r="C12" s="1" t="s">
        <v>11</v>
      </c>
      <c r="D12" s="1" t="s">
        <v>12</v>
      </c>
      <c r="E12" s="1" t="s">
        <v>18</v>
      </c>
      <c r="F12" s="1">
        <v>205</v>
      </c>
      <c r="G12" s="1">
        <v>60</v>
      </c>
      <c r="H12" s="1">
        <v>52</v>
      </c>
      <c r="I12" s="1">
        <f>F12/H12</f>
        <v>3.9423076923076925</v>
      </c>
      <c r="K12" s="1">
        <v>4</v>
      </c>
      <c r="L12" s="4">
        <f t="shared" si="0"/>
        <v>0.98557692307692313</v>
      </c>
    </row>
    <row r="13" spans="1:12">
      <c r="A13" s="2">
        <v>46251</v>
      </c>
      <c r="B13" s="3">
        <v>0.375</v>
      </c>
      <c r="C13" s="1" t="s">
        <v>14</v>
      </c>
      <c r="D13" s="1" t="s">
        <v>12</v>
      </c>
      <c r="E13" s="1" t="s">
        <v>13</v>
      </c>
      <c r="F13" s="1">
        <v>220</v>
      </c>
      <c r="G13" s="1">
        <v>60</v>
      </c>
      <c r="H13" s="1">
        <v>54</v>
      </c>
      <c r="I13" s="1">
        <f>F13/H13</f>
        <v>4.0740740740740744</v>
      </c>
      <c r="K13" s="1">
        <v>4</v>
      </c>
      <c r="L13" s="4">
        <f t="shared" si="0"/>
        <v>1.0185185185185186</v>
      </c>
    </row>
    <row r="14" spans="1:12">
      <c r="A14" s="2">
        <v>46251</v>
      </c>
      <c r="B14" s="3">
        <v>0.375</v>
      </c>
      <c r="C14" s="1" t="s">
        <v>16</v>
      </c>
      <c r="D14" s="1" t="s">
        <v>12</v>
      </c>
      <c r="E14" s="1" t="s">
        <v>15</v>
      </c>
      <c r="F14" s="1">
        <v>250</v>
      </c>
      <c r="G14" s="1">
        <v>60</v>
      </c>
      <c r="H14" s="1">
        <v>56</v>
      </c>
      <c r="I14" s="1">
        <f>F14/H14</f>
        <v>4.4642857142857144</v>
      </c>
      <c r="K14" s="1">
        <v>5</v>
      </c>
      <c r="L14" s="4">
        <f t="shared" si="0"/>
        <v>0.8928571428571429</v>
      </c>
    </row>
    <row r="15" spans="1:12">
      <c r="A15" s="2">
        <v>46251</v>
      </c>
      <c r="B15" s="3">
        <v>0.375</v>
      </c>
      <c r="C15" s="1" t="s">
        <v>17</v>
      </c>
      <c r="D15" s="1" t="s">
        <v>12</v>
      </c>
      <c r="E15" s="1" t="s">
        <v>13</v>
      </c>
      <c r="F15" s="1">
        <v>230</v>
      </c>
      <c r="G15" s="1">
        <v>60</v>
      </c>
      <c r="H15" s="1">
        <v>55</v>
      </c>
      <c r="I15" s="1">
        <f>F15/H15</f>
        <v>4.1818181818181817</v>
      </c>
      <c r="K15" s="1">
        <v>4.5</v>
      </c>
      <c r="L15" s="4">
        <f t="shared" si="0"/>
        <v>0.92929292929292928</v>
      </c>
    </row>
    <row r="16" spans="1:12">
      <c r="A16" s="2">
        <v>46251</v>
      </c>
      <c r="B16" s="3">
        <v>0.375</v>
      </c>
      <c r="C16" s="1" t="s">
        <v>19</v>
      </c>
      <c r="D16" s="1" t="s">
        <v>12</v>
      </c>
      <c r="E16" s="1" t="s">
        <v>26</v>
      </c>
      <c r="F16" s="1">
        <v>290</v>
      </c>
      <c r="G16" s="1">
        <v>60</v>
      </c>
      <c r="H16" s="1">
        <v>55</v>
      </c>
      <c r="I16" s="1">
        <f>F16/H16</f>
        <v>5.2727272727272725</v>
      </c>
      <c r="K16" s="1">
        <v>6</v>
      </c>
      <c r="L16" s="4">
        <f t="shared" si="0"/>
        <v>0.87878787878787878</v>
      </c>
    </row>
    <row r="17" spans="1:12">
      <c r="A17" s="2">
        <v>46251</v>
      </c>
      <c r="B17" s="3">
        <v>0.375</v>
      </c>
      <c r="C17" s="1" t="s">
        <v>20</v>
      </c>
      <c r="D17" s="1" t="s">
        <v>21</v>
      </c>
      <c r="E17" s="1" t="s">
        <v>13</v>
      </c>
      <c r="F17" s="1">
        <v>210</v>
      </c>
      <c r="G17" s="1">
        <v>60</v>
      </c>
      <c r="H17" s="1">
        <v>54</v>
      </c>
      <c r="I17" s="1">
        <f>F17/H17</f>
        <v>3.8888888888888888</v>
      </c>
      <c r="K17" s="1">
        <v>4</v>
      </c>
      <c r="L17" s="4">
        <f t="shared" si="0"/>
        <v>0.97222222222222221</v>
      </c>
    </row>
    <row r="18" spans="1:12">
      <c r="A18" s="2">
        <v>46251</v>
      </c>
      <c r="B18" s="3">
        <v>0.375</v>
      </c>
      <c r="C18" s="1" t="s">
        <v>22</v>
      </c>
      <c r="D18" s="1" t="s">
        <v>21</v>
      </c>
      <c r="E18" s="1" t="s">
        <v>18</v>
      </c>
      <c r="F18" s="1">
        <v>255</v>
      </c>
      <c r="G18" s="1">
        <v>60</v>
      </c>
      <c r="H18" s="1">
        <v>57</v>
      </c>
      <c r="I18" s="1">
        <f>F18/H18</f>
        <v>4.4736842105263159</v>
      </c>
      <c r="K18" s="1">
        <v>5</v>
      </c>
      <c r="L18" s="4">
        <f t="shared" si="0"/>
        <v>0.89473684210526316</v>
      </c>
    </row>
    <row r="19" spans="1:12">
      <c r="A19" s="2">
        <v>46251</v>
      </c>
      <c r="B19" s="3">
        <v>0.375</v>
      </c>
      <c r="C19" s="1" t="s">
        <v>23</v>
      </c>
      <c r="D19" s="1" t="s">
        <v>21</v>
      </c>
      <c r="E19" s="1" t="s">
        <v>15</v>
      </c>
      <c r="F19" s="1">
        <v>215</v>
      </c>
      <c r="G19" s="1">
        <v>60</v>
      </c>
      <c r="H19" s="1">
        <v>54</v>
      </c>
      <c r="I19" s="1">
        <f>F19/H19</f>
        <v>3.9814814814814814</v>
      </c>
      <c r="K19" s="1">
        <v>4</v>
      </c>
      <c r="L19" s="4">
        <f t="shared" si="0"/>
        <v>0.99537037037037035</v>
      </c>
    </row>
    <row r="20" spans="1:12">
      <c r="A20" s="2">
        <v>46251</v>
      </c>
      <c r="B20" s="3">
        <v>0.375</v>
      </c>
      <c r="C20" s="1" t="s">
        <v>24</v>
      </c>
      <c r="D20" s="1" t="s">
        <v>21</v>
      </c>
      <c r="E20" s="1" t="s">
        <v>26</v>
      </c>
      <c r="F20" s="1">
        <v>300</v>
      </c>
      <c r="G20" s="1">
        <v>60</v>
      </c>
      <c r="H20" s="1">
        <v>55</v>
      </c>
      <c r="I20" s="1">
        <f>F20/H20</f>
        <v>5.4545454545454541</v>
      </c>
      <c r="K20" s="1">
        <v>6</v>
      </c>
      <c r="L20" s="4">
        <f t="shared" si="0"/>
        <v>0.90909090909090906</v>
      </c>
    </row>
    <row r="21" spans="1:12">
      <c r="A21" s="2">
        <v>46251</v>
      </c>
      <c r="B21" s="3">
        <v>0.375</v>
      </c>
      <c r="C21" s="1" t="s">
        <v>25</v>
      </c>
      <c r="D21" s="1" t="s">
        <v>21</v>
      </c>
      <c r="E21" s="1" t="s">
        <v>13</v>
      </c>
      <c r="F21" s="1">
        <v>235</v>
      </c>
      <c r="G21" s="1">
        <v>60</v>
      </c>
      <c r="H21" s="1">
        <v>55</v>
      </c>
      <c r="I21" s="1">
        <f>F21/H21</f>
        <v>4.2727272727272725</v>
      </c>
      <c r="K21" s="1">
        <v>4.5</v>
      </c>
      <c r="L21" s="4">
        <f t="shared" si="0"/>
        <v>0.94949494949494939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FCC2-4AEE-458E-81C3-77D0F19B9694}">
  <dimension ref="A1:K11"/>
  <sheetViews>
    <sheetView tabSelected="1" topLeftCell="A5" workbookViewId="0">
      <selection activeCell="G14" sqref="G14"/>
    </sheetView>
  </sheetViews>
  <sheetFormatPr defaultRowHeight="15"/>
  <cols>
    <col min="1" max="1" width="61.42578125" customWidth="1"/>
    <col min="3" max="3" width="15.5703125" customWidth="1"/>
    <col min="5" max="5" width="28" customWidth="1"/>
    <col min="7" max="7" width="24.7109375" customWidth="1"/>
    <col min="9" max="9" width="29.42578125" customWidth="1"/>
    <col min="10" max="10" width="24.28515625" customWidth="1"/>
    <col min="11" max="11" width="29.28515625" customWidth="1"/>
  </cols>
  <sheetData>
    <row r="1" spans="1:11" ht="23.25">
      <c r="A1" s="7" t="s">
        <v>27</v>
      </c>
    </row>
    <row r="3" spans="1:11" ht="18.75">
      <c r="A3" s="8" t="s">
        <v>28</v>
      </c>
      <c r="C3" s="8" t="s">
        <v>29</v>
      </c>
      <c r="E3" s="8" t="s">
        <v>30</v>
      </c>
      <c r="G3" s="8" t="s">
        <v>31</v>
      </c>
      <c r="I3" s="8" t="s">
        <v>32</v>
      </c>
      <c r="J3" s="8"/>
      <c r="K3" s="8" t="s">
        <v>33</v>
      </c>
    </row>
    <row r="4" spans="1:11" ht="26.25">
      <c r="A4" s="10">
        <f>metrics!B2</f>
        <v>4790</v>
      </c>
      <c r="C4" s="10">
        <f>AVERAGE(production!I2:I21)</f>
        <v>4.3570017237718321</v>
      </c>
      <c r="E4" s="10">
        <f>COUNTA(metrics!A12:A21)</f>
        <v>10</v>
      </c>
      <c r="G4" s="10">
        <f>metrics!M12</f>
        <v>9</v>
      </c>
      <c r="I4" s="10">
        <f>metrics!M13</f>
        <v>1</v>
      </c>
      <c r="J4" s="9"/>
      <c r="K4" s="10">
        <f>metrics!M14</f>
        <v>0</v>
      </c>
    </row>
    <row r="7" spans="1:11" ht="18.75">
      <c r="A7" s="8" t="s">
        <v>34</v>
      </c>
    </row>
    <row r="8" spans="1:11" ht="18.75">
      <c r="A8" s="11" t="str">
        <f>IF(metrics!M14&gt;0,"Há funcionários em nível alto de carga.",IF(metrics!M13&gt;0,"Atenção: há funcionários que precisam ser observados.","Nenhum alerta de carga no momento."))</f>
        <v>Atenção: há funcionários que precisam ser observados.</v>
      </c>
    </row>
    <row r="10" spans="1:11" ht="18.75">
      <c r="A10" s="8" t="s">
        <v>35</v>
      </c>
      <c r="C10" s="12" t="s">
        <v>12</v>
      </c>
      <c r="E10" s="14" t="s">
        <v>21</v>
      </c>
    </row>
    <row r="11" spans="1:11" ht="23.25">
      <c r="A11" s="7" t="str">
        <f>metrics!M17</f>
        <v>EQUILIBRADO</v>
      </c>
      <c r="C11" s="13">
        <f>metrics!B8</f>
        <v>0.49373695198329853</v>
      </c>
      <c r="E11" s="13">
        <f>metrics!B9</f>
        <v>0.50626304801670141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CC1A-95C9-4C8B-A9C8-6048CF8B0657}">
  <dimension ref="A1:E11"/>
  <sheetViews>
    <sheetView workbookViewId="0">
      <selection activeCell="A2" sqref="A2:E11"/>
    </sheetView>
  </sheetViews>
  <sheetFormatPr defaultRowHeight="15"/>
  <cols>
    <col min="1" max="1" width="15.140625" customWidth="1"/>
    <col min="2" max="2" width="16" customWidth="1"/>
    <col min="4" max="4" width="18.7109375" customWidth="1"/>
    <col min="5" max="5" width="18.85546875" customWidth="1"/>
  </cols>
  <sheetData>
    <row r="1" spans="1:5">
      <c r="A1" t="s">
        <v>2</v>
      </c>
      <c r="B1" t="s">
        <v>36</v>
      </c>
      <c r="C1" t="s">
        <v>3</v>
      </c>
      <c r="D1" t="s">
        <v>10</v>
      </c>
      <c r="E1" t="s">
        <v>37</v>
      </c>
    </row>
    <row r="2" spans="1:5">
      <c r="A2" t="s">
        <v>11</v>
      </c>
      <c r="B2" t="s">
        <v>38</v>
      </c>
      <c r="C2" t="s">
        <v>12</v>
      </c>
      <c r="D2">
        <v>4</v>
      </c>
      <c r="E2">
        <v>8</v>
      </c>
    </row>
    <row r="3" spans="1:5">
      <c r="A3" t="s">
        <v>14</v>
      </c>
      <c r="B3" t="s">
        <v>39</v>
      </c>
      <c r="C3" t="s">
        <v>12</v>
      </c>
      <c r="D3">
        <v>4</v>
      </c>
      <c r="E3">
        <v>8</v>
      </c>
    </row>
    <row r="4" spans="1:5">
      <c r="A4" t="s">
        <v>16</v>
      </c>
      <c r="B4" t="s">
        <v>40</v>
      </c>
      <c r="C4" t="s">
        <v>12</v>
      </c>
      <c r="D4">
        <v>5</v>
      </c>
      <c r="E4">
        <v>8</v>
      </c>
    </row>
    <row r="5" spans="1:5">
      <c r="A5" t="s">
        <v>17</v>
      </c>
      <c r="B5" t="s">
        <v>41</v>
      </c>
      <c r="C5" t="s">
        <v>12</v>
      </c>
      <c r="D5">
        <v>4.5</v>
      </c>
      <c r="E5">
        <v>8</v>
      </c>
    </row>
    <row r="6" spans="1:5">
      <c r="A6" t="s">
        <v>19</v>
      </c>
      <c r="B6" t="s">
        <v>42</v>
      </c>
      <c r="C6" t="s">
        <v>12</v>
      </c>
      <c r="D6">
        <v>6</v>
      </c>
      <c r="E6">
        <v>8</v>
      </c>
    </row>
    <row r="7" spans="1:5">
      <c r="A7" t="s">
        <v>20</v>
      </c>
      <c r="B7" t="s">
        <v>43</v>
      </c>
      <c r="C7" t="s">
        <v>21</v>
      </c>
      <c r="D7">
        <v>4</v>
      </c>
      <c r="E7">
        <v>8</v>
      </c>
    </row>
    <row r="8" spans="1:5">
      <c r="A8" t="s">
        <v>22</v>
      </c>
      <c r="B8" t="s">
        <v>44</v>
      </c>
      <c r="C8" t="s">
        <v>21</v>
      </c>
      <c r="D8">
        <v>5</v>
      </c>
      <c r="E8">
        <v>8</v>
      </c>
    </row>
    <row r="9" spans="1:5">
      <c r="A9" t="s">
        <v>23</v>
      </c>
      <c r="B9" t="s">
        <v>45</v>
      </c>
      <c r="C9" t="s">
        <v>21</v>
      </c>
      <c r="D9">
        <v>4</v>
      </c>
      <c r="E9">
        <v>8</v>
      </c>
    </row>
    <row r="10" spans="1:5">
      <c r="A10" t="s">
        <v>24</v>
      </c>
      <c r="B10" t="s">
        <v>46</v>
      </c>
      <c r="C10" t="s">
        <v>21</v>
      </c>
      <c r="D10">
        <v>6</v>
      </c>
      <c r="E10">
        <v>8</v>
      </c>
    </row>
    <row r="11" spans="1:5">
      <c r="A11" t="s">
        <v>25</v>
      </c>
      <c r="B11" t="s">
        <v>47</v>
      </c>
      <c r="C11" t="s">
        <v>21</v>
      </c>
      <c r="D11">
        <v>4.5</v>
      </c>
      <c r="E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21EF-C67A-43F6-8731-847E68791C78}">
  <dimension ref="A1:G5"/>
  <sheetViews>
    <sheetView workbookViewId="0">
      <selection activeCell="E1" sqref="E1"/>
    </sheetView>
  </sheetViews>
  <sheetFormatPr defaultRowHeight="15"/>
  <cols>
    <col min="4" max="4" width="28.85546875" customWidth="1"/>
    <col min="5" max="5" width="19.42578125" customWidth="1"/>
    <col min="6" max="6" width="24.7109375" customWidth="1"/>
    <col min="7" max="7" width="16" customWidth="1"/>
  </cols>
  <sheetData>
    <row r="1" spans="1:7">
      <c r="A1" t="s">
        <v>4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>
      <c r="A2" t="s">
        <v>13</v>
      </c>
      <c r="B2" t="s">
        <v>54</v>
      </c>
      <c r="C2">
        <v>1</v>
      </c>
      <c r="D2">
        <v>1</v>
      </c>
      <c r="E2">
        <v>397</v>
      </c>
      <c r="F2">
        <v>397</v>
      </c>
      <c r="G2">
        <v>794</v>
      </c>
    </row>
    <row r="3" spans="1:7">
      <c r="A3" t="s">
        <v>15</v>
      </c>
      <c r="B3" t="s">
        <v>55</v>
      </c>
      <c r="C3">
        <v>2</v>
      </c>
      <c r="D3">
        <v>1</v>
      </c>
      <c r="E3">
        <v>794</v>
      </c>
      <c r="F3">
        <v>397</v>
      </c>
      <c r="G3">
        <v>1191</v>
      </c>
    </row>
    <row r="4" spans="1:7">
      <c r="A4" t="s">
        <v>18</v>
      </c>
      <c r="B4" t="s">
        <v>56</v>
      </c>
      <c r="C4">
        <v>1</v>
      </c>
      <c r="D4">
        <v>2</v>
      </c>
      <c r="E4">
        <v>397</v>
      </c>
      <c r="F4">
        <v>794</v>
      </c>
      <c r="G4">
        <v>1191</v>
      </c>
    </row>
    <row r="5" spans="1:7">
      <c r="A5" t="s">
        <v>26</v>
      </c>
      <c r="B5" t="s">
        <v>57</v>
      </c>
      <c r="C5">
        <v>2</v>
      </c>
      <c r="D5">
        <v>2</v>
      </c>
      <c r="E5">
        <v>794</v>
      </c>
      <c r="F5">
        <v>794</v>
      </c>
      <c r="G5">
        <v>1588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675B-DFFF-46BE-824C-868F9C86B972}">
  <dimension ref="A1:M21"/>
  <sheetViews>
    <sheetView workbookViewId="0">
      <selection activeCell="C4" sqref="C4"/>
    </sheetView>
  </sheetViews>
  <sheetFormatPr defaultRowHeight="15"/>
  <cols>
    <col min="1" max="1" width="25.42578125" customWidth="1"/>
    <col min="2" max="2" width="17.7109375" customWidth="1"/>
    <col min="3" max="4" width="13.28515625" customWidth="1"/>
    <col min="5" max="5" width="16" customWidth="1"/>
    <col min="6" max="6" width="12" customWidth="1"/>
    <col min="7" max="7" width="11.28515625" customWidth="1"/>
    <col min="8" max="8" width="15" customWidth="1"/>
    <col min="9" max="9" width="15.28515625" customWidth="1"/>
    <col min="10" max="10" width="12.7109375" customWidth="1"/>
    <col min="12" max="12" width="20.42578125" customWidth="1"/>
    <col min="13" max="13" width="16.140625" customWidth="1"/>
  </cols>
  <sheetData>
    <row r="1" spans="1:13">
      <c r="A1" t="s">
        <v>58</v>
      </c>
      <c r="B1" t="s">
        <v>59</v>
      </c>
    </row>
    <row r="2" spans="1:13">
      <c r="A2" t="s">
        <v>60</v>
      </c>
      <c r="B2">
        <f>SUM(production!F2:F21)</f>
        <v>4790</v>
      </c>
    </row>
    <row r="3" spans="1:13">
      <c r="A3" t="s">
        <v>61</v>
      </c>
      <c r="B3">
        <f>AVERAGE(production!F2:F21)</f>
        <v>239.5</v>
      </c>
    </row>
    <row r="4" spans="1:13">
      <c r="A4" t="s">
        <v>62</v>
      </c>
      <c r="B4">
        <f>AVERAGE(production!I2:I21)</f>
        <v>4.3570017237718321</v>
      </c>
    </row>
    <row r="5" spans="1:13">
      <c r="A5" t="s">
        <v>63</v>
      </c>
      <c r="B5">
        <f>AVERAGE(production!H2:H21)</f>
        <v>54.9</v>
      </c>
    </row>
    <row r="6" spans="1:13">
      <c r="A6" t="s">
        <v>64</v>
      </c>
      <c r="B6">
        <f>SUMIF(production!D2:D21,"M01",production!F2:F21)</f>
        <v>2365</v>
      </c>
    </row>
    <row r="7" spans="1:13">
      <c r="A7" t="s">
        <v>65</v>
      </c>
      <c r="B7">
        <f>SUMIF(production!D2:D21,"M02",production!F2:F21)</f>
        <v>2425</v>
      </c>
    </row>
    <row r="8" spans="1:13">
      <c r="A8" t="s">
        <v>66</v>
      </c>
      <c r="B8" s="6">
        <f>B6/B2</f>
        <v>0.49373695198329853</v>
      </c>
    </row>
    <row r="9" spans="1:13">
      <c r="A9" t="s">
        <v>67</v>
      </c>
      <c r="B9" s="6">
        <f>B7/B2</f>
        <v>0.50626304801670141</v>
      </c>
    </row>
    <row r="11" spans="1:13">
      <c r="A11" t="s">
        <v>2</v>
      </c>
      <c r="B11" t="s">
        <v>60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L11" t="s">
        <v>76</v>
      </c>
      <c r="M11" t="s">
        <v>77</v>
      </c>
    </row>
    <row r="12" spans="1:13">
      <c r="A12" t="s">
        <v>11</v>
      </c>
      <c r="B12">
        <f>SUMIF(production!C2:C21,A12,production!F2:F21)</f>
        <v>415</v>
      </c>
      <c r="C12" s="6">
        <f>AVERAGEIF(production!C2:C21,A12,production!I2:I21)</f>
        <v>3.9155982905982905</v>
      </c>
      <c r="D12">
        <v>4</v>
      </c>
      <c r="E12" s="6">
        <f>C12/D12</f>
        <v>0.97889957264957261</v>
      </c>
      <c r="F12" s="6">
        <f>C12/D12</f>
        <v>0.97889957264957261</v>
      </c>
      <c r="G12" t="str">
        <f>IF(F12&gt;1.1,"ALTO",IF(F12&gt;1,"ATENÇÃO","NORMAL"))</f>
        <v>NORMAL</v>
      </c>
      <c r="H12">
        <f>SUMIF(production!C2:C21,A12,production!H2:H21)</f>
        <v>106</v>
      </c>
      <c r="I12" t="str">
        <f>IF(AND(F12&gt;1.1,J12&gt;=1.1),"ALTO",IF(OR(F12&gt;1,J12&gt;=1.1),"ATENÇÃO","NORMAL"))</f>
        <v>NORMAL</v>
      </c>
      <c r="J12">
        <f>H12/AVERAGE($H$12:$H$21)</f>
        <v>0.96539162112932608</v>
      </c>
      <c r="L12" t="s">
        <v>78</v>
      </c>
      <c r="M12">
        <f>COUNTIF(I12:I21,L12)</f>
        <v>9</v>
      </c>
    </row>
    <row r="13" spans="1:13">
      <c r="A13" t="s">
        <v>14</v>
      </c>
      <c r="B13">
        <f>SUMIF(production!C2:C21,A13,production!F2:F21)</f>
        <v>415</v>
      </c>
      <c r="C13">
        <f>AVERAGEIF(production!C2:C21,A13,production!I2:I21)</f>
        <v>3.8097643097643097</v>
      </c>
      <c r="D13">
        <v>4</v>
      </c>
      <c r="E13">
        <f>C13/D13</f>
        <v>0.95244107744107742</v>
      </c>
      <c r="F13">
        <f>C13/D13</f>
        <v>0.95244107744107742</v>
      </c>
      <c r="G13" t="str">
        <f>IF(F13&gt;1.1,"ALTO",IF(F13&gt;1,"ATENÇÃO","NORMAL"))</f>
        <v>NORMAL</v>
      </c>
      <c r="H13">
        <f>SUMIF(production!C2:C21,A13,production!H2:H21)</f>
        <v>109</v>
      </c>
      <c r="I13" t="str">
        <f>IF(AND(F13&gt;1.1,J13&gt;=1.1),"ALTO",IF(OR(F13&gt;1,J13&gt;=1.1),"ATENÇÃO","NORMAL"))</f>
        <v>NORMAL</v>
      </c>
      <c r="J13">
        <f>H13/AVERAGE($H$12:$H$21)</f>
        <v>0.99271402550091081</v>
      </c>
      <c r="L13" t="s">
        <v>79</v>
      </c>
      <c r="M13">
        <f>COUNTIF(I12:I21,L13)</f>
        <v>1</v>
      </c>
    </row>
    <row r="14" spans="1:13">
      <c r="A14" t="s">
        <v>16</v>
      </c>
      <c r="B14">
        <f>SUMIF(production!C2:C21,A14,production!F2:F21)</f>
        <v>490</v>
      </c>
      <c r="C14">
        <f>AVERAGEIF(production!C2:C21,A14,production!I2:I21)</f>
        <v>4.3374060150375939</v>
      </c>
      <c r="D14">
        <v>5</v>
      </c>
      <c r="E14">
        <f>C14/D14</f>
        <v>0.86748120300751874</v>
      </c>
      <c r="F14">
        <f>C14/D14</f>
        <v>0.86748120300751874</v>
      </c>
      <c r="G14" t="str">
        <f>IF(F14&gt;1.1,"ALTO",IF(F14&gt;1,"ATENÇÃO","NORMAL"))</f>
        <v>NORMAL</v>
      </c>
      <c r="H14">
        <f>SUMIF(production!C2:C21,A14,production!H2:H21)</f>
        <v>113</v>
      </c>
      <c r="I14" t="str">
        <f>IF(AND(F14&gt;1.1,J14&gt;=1.1),"ALTO",IF(OR(F14&gt;1,J14&gt;=1.1),"ATENÇÃO","NORMAL"))</f>
        <v>NORMAL</v>
      </c>
      <c r="J14">
        <f>H14/AVERAGE($H$12:$H$21)</f>
        <v>1.029143897996357</v>
      </c>
      <c r="L14" t="s">
        <v>80</v>
      </c>
      <c r="M14">
        <f>COUNTIF(I12:I21,L14)</f>
        <v>0</v>
      </c>
    </row>
    <row r="15" spans="1:13">
      <c r="A15" t="s">
        <v>17</v>
      </c>
      <c r="B15">
        <f>SUMIF(production!C2:C21,A15,production!F2:F21)</f>
        <v>455</v>
      </c>
      <c r="C15">
        <f>AVERAGEIF(production!C2:C21,A15,production!I2:I21)</f>
        <v>4.1742424242424239</v>
      </c>
      <c r="D15">
        <f>45/10</f>
        <v>4.5</v>
      </c>
      <c r="E15">
        <f>C15/D15</f>
        <v>0.92760942760942755</v>
      </c>
      <c r="F15">
        <f>C15/D15</f>
        <v>0.92760942760942755</v>
      </c>
      <c r="G15" t="str">
        <f>IF(F15&gt;1.1,"ALTO",IF(F15&gt;1,"ATENÇÃO","NORMAL"))</f>
        <v>NORMAL</v>
      </c>
      <c r="H15">
        <f>SUMIF(production!C2:C21,A15,production!H2:H21)</f>
        <v>109</v>
      </c>
      <c r="I15" t="str">
        <f>IF(AND(F15&gt;1.1,J15&gt;=1.1),"ALTO",IF(OR(F15&gt;1,J15&gt;=1.1),"ATENÇÃO","NORMAL"))</f>
        <v>NORMAL</v>
      </c>
      <c r="J15">
        <f>H15/AVERAGE($H$12:$H$21)</f>
        <v>0.99271402550091081</v>
      </c>
    </row>
    <row r="16" spans="1:13">
      <c r="A16" t="s">
        <v>19</v>
      </c>
      <c r="B16">
        <f>SUMIF(production!C2:C21,A16,production!F2:F21)</f>
        <v>590</v>
      </c>
      <c r="C16">
        <f>AVERAGEIF(production!C2:C21,A16,production!I2:I21)</f>
        <v>5.3149350649350646</v>
      </c>
      <c r="D16">
        <v>6</v>
      </c>
      <c r="E16">
        <f>C16/D16</f>
        <v>0.88582251082251073</v>
      </c>
      <c r="F16">
        <f>C16/D16</f>
        <v>0.88582251082251073</v>
      </c>
      <c r="G16" t="str">
        <f>IF(F16&gt;1.1,"ALTO",IF(F16&gt;1,"ATENÇÃO","NORMAL"))</f>
        <v>NORMAL</v>
      </c>
      <c r="H16">
        <f>SUMIF(production!C2:C21,A16,production!H2:H21)</f>
        <v>111</v>
      </c>
      <c r="I16" t="str">
        <f>IF(AND(F16&gt;1.1,J16&gt;=1.1),"ALTO",IF(OR(F16&gt;1,J16&gt;=1.1),"ATENÇÃO","NORMAL"))</f>
        <v>NORMAL</v>
      </c>
      <c r="J16">
        <f>H16/AVERAGE($H$12:$H$21)</f>
        <v>1.0109289617486339</v>
      </c>
      <c r="L16" t="s">
        <v>81</v>
      </c>
      <c r="M16">
        <f>ABS(B8-B9)</f>
        <v>1.2526096033402878E-2</v>
      </c>
    </row>
    <row r="17" spans="1:13">
      <c r="A17" t="s">
        <v>20</v>
      </c>
      <c r="B17">
        <f>SUMIF(production!C2:C21,A17,production!F2:F21)</f>
        <v>415</v>
      </c>
      <c r="C17">
        <f>AVERAGEIF(production!C2:C21,A17,production!I2:I21)</f>
        <v>3.808080808080808</v>
      </c>
      <c r="D17">
        <v>4</v>
      </c>
      <c r="E17">
        <f>C17/D17</f>
        <v>0.95202020202020199</v>
      </c>
      <c r="F17">
        <f>C17/D17</f>
        <v>0.95202020202020199</v>
      </c>
      <c r="G17" t="str">
        <f>IF(F17&gt;1.1,"ALTO",IF(F17&gt;1,"ATENÇÃO","NORMAL"))</f>
        <v>NORMAL</v>
      </c>
      <c r="H17">
        <f>SUMIF(production!C2:C21,A17,production!H2:H21)</f>
        <v>109</v>
      </c>
      <c r="I17" t="str">
        <f>IF(AND(F17&gt;1.1,J17&gt;=1.1),"ALTO",IF(OR(F17&gt;1,J17&gt;=1.1),"ATENÇÃO","NORMAL"))</f>
        <v>NORMAL</v>
      </c>
      <c r="J17">
        <f>H17/AVERAGE($H$12:$H$21)</f>
        <v>0.99271402550091081</v>
      </c>
      <c r="L17" t="s">
        <v>82</v>
      </c>
      <c r="M17" t="str">
        <f>IF(M16&lt;=0.05,"EQUILIBRADO",IF(M16&lt;=0.1,"ATENÇÃO","DESEQUILIBRADO"))</f>
        <v>EQUILIBRADO</v>
      </c>
    </row>
    <row r="18" spans="1:13">
      <c r="A18" t="s">
        <v>22</v>
      </c>
      <c r="B18">
        <f>SUMIF(production!C2:C21,A18,production!F2:F21)</f>
        <v>505</v>
      </c>
      <c r="C18">
        <f>AVERAGEIF(production!C2:C21,A18,production!I2:I21)</f>
        <v>4.4298245614035086</v>
      </c>
      <c r="D18">
        <v>5</v>
      </c>
      <c r="E18">
        <f>C18/D18</f>
        <v>0.88596491228070173</v>
      </c>
      <c r="F18">
        <f>C18/D18</f>
        <v>0.88596491228070173</v>
      </c>
      <c r="G18" t="str">
        <f>IF(F18&gt;1.1,"ALTO",IF(F18&gt;1,"ATENÇÃO","NORMAL"))</f>
        <v>NORMAL</v>
      </c>
      <c r="H18">
        <f>SUMIF(production!C2:C21,A18,production!H2:H21)</f>
        <v>114</v>
      </c>
      <c r="I18" t="str">
        <f>IF(AND(F18&gt;1.1,J18&gt;=1.1),"ALTO",IF(OR(F18&gt;1,J18&gt;=1.1),"ATENÇÃO","NORMAL"))</f>
        <v>NORMAL</v>
      </c>
      <c r="J18">
        <f>H18/AVERAGE($H$12:$H$21)</f>
        <v>1.0382513661202186</v>
      </c>
    </row>
    <row r="19" spans="1:13">
      <c r="A19" t="s">
        <v>23</v>
      </c>
      <c r="B19">
        <f>SUMIF(production!C2:C21,A19,production!F2:F21)</f>
        <v>430</v>
      </c>
      <c r="C19">
        <f>AVERAGEIF(production!C2:C21,A19,production!I2:I21)</f>
        <v>4.0190426275331932</v>
      </c>
      <c r="D19">
        <v>4</v>
      </c>
      <c r="E19">
        <f>C19/D19</f>
        <v>1.0047606568832983</v>
      </c>
      <c r="F19">
        <f>C19/D19</f>
        <v>1.0047606568832983</v>
      </c>
      <c r="G19" t="str">
        <f>IF(F19&gt;1.1,"ALTO",IF(F19&gt;1,"ATENÇÃO","NORMAL"))</f>
        <v>ATENÇÃO</v>
      </c>
      <c r="H19">
        <f>SUMIF(production!C2:C21,A19,production!H2:H21)</f>
        <v>107</v>
      </c>
      <c r="I19" t="str">
        <f>IF(AND(F19&gt;1.1,J19&gt;=1.1),"ALTO",IF(OR(F19&gt;1,J19&gt;=1.1),"ATENÇÃO","NORMAL"))</f>
        <v>ATENÇÃO</v>
      </c>
      <c r="J19">
        <f>H19/AVERAGE($H$12:$H$21)</f>
        <v>0.97449908925318762</v>
      </c>
    </row>
    <row r="20" spans="1:13">
      <c r="A20" t="s">
        <v>24</v>
      </c>
      <c r="B20">
        <f>SUMIF(production!C2:C21,A20,production!F2:F21)</f>
        <v>610</v>
      </c>
      <c r="C20">
        <f>AVERAGEIF(production!C2:C21,A20,production!I2:I21)</f>
        <v>5.4951298701298699</v>
      </c>
      <c r="D20">
        <v>6</v>
      </c>
      <c r="E20">
        <f>C20/D20</f>
        <v>0.91585497835497831</v>
      </c>
      <c r="F20">
        <f>C20/D20</f>
        <v>0.91585497835497831</v>
      </c>
      <c r="G20" t="str">
        <f>IF(F20&gt;1.1,"ALTO",IF(F20&gt;1,"ATENÇÃO","NORMAL"))</f>
        <v>NORMAL</v>
      </c>
      <c r="H20">
        <f>SUMIF(production!C2:C21,A20,production!H2:H21)</f>
        <v>111</v>
      </c>
      <c r="I20" t="str">
        <f>IF(AND(F20&gt;1.1,J20&gt;=1.1),"ALTO",IF(OR(F20&gt;1,J20&gt;=1.1),"ATENÇÃO","NORMAL"))</f>
        <v>NORMAL</v>
      </c>
      <c r="J20">
        <f>H20/AVERAGE($H$12:$H$21)</f>
        <v>1.0109289617486339</v>
      </c>
    </row>
    <row r="21" spans="1:13">
      <c r="A21" t="s">
        <v>25</v>
      </c>
      <c r="B21">
        <f>SUMIF(production!C2:C21,A21,production!F2:F21)</f>
        <v>465</v>
      </c>
      <c r="C21">
        <f>AVERAGEIF(production!C2:C21,A21,production!I2:I21)</f>
        <v>4.2659932659932664</v>
      </c>
      <c r="D21">
        <f>45/10</f>
        <v>4.5</v>
      </c>
      <c r="E21">
        <f>C21/D21</f>
        <v>0.94799850355405924</v>
      </c>
      <c r="F21">
        <f>C21/D21</f>
        <v>0.94799850355405924</v>
      </c>
      <c r="G21" t="str">
        <f>IF(F21&gt;1.1,"ALTO",IF(F21&gt;1,"ATENÇÃO","NORMAL"))</f>
        <v>NORMAL</v>
      </c>
      <c r="H21">
        <f>SUMIF(production!C2:C21,A21,production!H2:H21)</f>
        <v>109</v>
      </c>
      <c r="I21" t="str">
        <f>IF(AND(F21&gt;1.1,J21&gt;=1.1),"ALTO",IF(OR(F21&gt;1,J21&gt;=1.1),"ATENÇÃO","NORMAL"))</f>
        <v>NORMAL</v>
      </c>
      <c r="J21">
        <f>H21/AVERAGE($H$12:$H$21)</f>
        <v>0.99271402550091081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2026-08-18T20:57:05Z</dcterms:created>
  <dcterms:modified xsi:type="dcterms:W3CDTF">2026-08-21T13:02:22Z</dcterms:modified>
  <cp:category/>
  <cp:contentStatus/>
</cp:coreProperties>
</file>